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504556\Documents\GitHub\Projeto_FISCSOFT\"/>
    </mc:Choice>
  </mc:AlternateContent>
  <xr:revisionPtr revIDLastSave="0" documentId="13_ncr:1_{0EDF2E5B-0F36-4070-80D4-9A0F2097E9F0}" xr6:coauthVersionLast="47" xr6:coauthVersionMax="47" xr10:uidLastSave="{00000000-0000-0000-0000-000000000000}"/>
  <bookViews>
    <workbookView xWindow="-120" yWindow="-120" windowWidth="29040" windowHeight="15720" xr2:uid="{99911425-21EE-4D42-B4E6-B0D035616EC9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<sst xmlns="http://schemas.openxmlformats.org/spreadsheetml/2006/main" count="261" uniqueCount="154">
  <si>
    <t>Nº</t>
  </si>
  <si>
    <t>TIPO DE MATERIAL</t>
  </si>
  <si>
    <t>ITEM</t>
  </si>
  <si>
    <t>DESCRIÇÃO</t>
  </si>
  <si>
    <t>JUSTIFICATIVA</t>
  </si>
  <si>
    <t>CONSUMO</t>
  </si>
  <si>
    <t>Ácido acético</t>
  </si>
  <si>
    <t>Análise Citogenética -Processo de Fixação de Preparações cromossômicas de peixe boi</t>
  </si>
  <si>
    <t>Ágar Manitol</t>
  </si>
  <si>
    <t>AGAR SAL MANITOL FRASCO 500G Composição g/L, Extrato de Carne  1,0, Peptona Especial 10,0, Cloreto de Sódio 75,0, Manitol 10,0, Vermelho de Fenol 0,025, Agar 15,0, pH Final= 7,4 + 0,2</t>
  </si>
  <si>
    <t>Meio seletivo para isolamento de estafilococos patogênicos a partir de amostras clínicas e biológicas e produtos farmacêuticos.</t>
  </si>
  <si>
    <t>Agarose 500 g</t>
  </si>
  <si>
    <t>LE Agarose Multi-Purpose Agarose</t>
  </si>
  <si>
    <t>Análises moleculares para animais aquáticos</t>
  </si>
  <si>
    <t>Agulha descartável 18G (40x1,20) - rosa</t>
  </si>
  <si>
    <t>Agulha HiPodérmica 40x1,20 18g 100un Rosa Descarpack</t>
  </si>
  <si>
    <t>Manejo dos animais em CAXIUANÃ, SOURE/IBD, UFPA/HV</t>
  </si>
  <si>
    <t>Agulha descartável 21G (25x0,8) - verde</t>
  </si>
  <si>
    <t>Manejos dos animais em SOURE / IBD, UFPA/HV, CAXIUANÃ</t>
  </si>
  <si>
    <t>Agulha vacutainer</t>
  </si>
  <si>
    <t>AGULHA VACUTAINER 25X7 CX C/100UN 360210</t>
  </si>
  <si>
    <t>Alantoína e óxido de zinco</t>
  </si>
  <si>
    <t>Alantol Pomada Cicatrizante Cães Gatos Equinos Vetnil 60g - 1 unid</t>
  </si>
  <si>
    <t>Tratamento dos animais resgatados no projeto</t>
  </si>
  <si>
    <t>Albumina Bovina Fração V 500g</t>
  </si>
  <si>
    <t>Albumina Bovina Fracao (V) Seg.Cohn Grau Padrao. Marca: Inlab Confiança.</t>
  </si>
  <si>
    <t>Para investigação de Leptospira spp., a ser utilizada no exame sorológico MAT em animais aquáticos</t>
  </si>
  <si>
    <t>Álcool absoluto</t>
  </si>
  <si>
    <t>Álcool Absoluto Anidro Pa 1 Litro</t>
  </si>
  <si>
    <t>Conservação de amostras para análises moleculares e histopatológicas no UFPA/HV</t>
  </si>
  <si>
    <t>Álcool etílico 70°</t>
  </si>
  <si>
    <t>Álcool 70% Líquido 5 Litros Etílico Hidratado Bactericida - 5 unid</t>
  </si>
  <si>
    <t>Conservação de amostras para análises diversas no UFPA/HV</t>
  </si>
  <si>
    <t>Alcool etílico puro</t>
  </si>
  <si>
    <t>Alcool etílico Absoluto PA 100%</t>
  </si>
  <si>
    <t>Análises de citogenética e biologia molecular</t>
  </si>
  <si>
    <t>Alface (kg)</t>
  </si>
  <si>
    <t>Alface (Kg)</t>
  </si>
  <si>
    <t>Alimentação dos filhotes de peixe-boi em fase de aclimatação</t>
  </si>
  <si>
    <t>PERMANENTE</t>
  </si>
  <si>
    <t>Antena VHF</t>
  </si>
  <si>
    <t>ANTENA DIRECIONAL VHF DOBRÁVEL DE 3 ELEMENTOS 162 - 166 MHz MARCA NORTRONIC, MODELO ATE-A2, COM CABO COAXIAL DE 1,5 METRO,  MODELO CCN-A1.</t>
  </si>
  <si>
    <t>Monitoramento pós-soltura dos peixes-bois</t>
  </si>
  <si>
    <t>Aparelho Hemocue</t>
  </si>
  <si>
    <t>HemoCue ® Hb 201</t>
  </si>
  <si>
    <t>Análises em patologia clínica para peixes-bois e tartarugas marinhas</t>
  </si>
  <si>
    <t>Aquecedor Residencial a Óleo 1500W 127V</t>
  </si>
  <si>
    <t>Método de aquecimento do aquecedor: tipo de óleo, Radiante, aquecimento elétrico, portátil, 1500W, 127V, peso 6740 Gramas, dimensões 33 x 15 x 64 cm; 6,74 quilogramas</t>
  </si>
  <si>
    <t>Para a manutenção térmica dos pacientes</t>
  </si>
  <si>
    <t>Armário em Aço Inox</t>
  </si>
  <si>
    <t xml:space="preserve"> Medidas: 1100x500x900-Com duas portas e duas prateleiras internas.</t>
  </si>
  <si>
    <t>Acondicionamento de medicamentos e suprimentos veterinários - na área de reabilitação de filhotes, e área de estabilização e aclimatação</t>
  </si>
  <si>
    <t>Armário Vertical - AV | Aço Inox 304</t>
  </si>
  <si>
    <t>Comprimento: 83Largura: 35Altura: 180 Espessura: 0.8mm. aço inox AISI 304 0.8mm escovado- 02 Portas;- 03 Prateleiras internas e 04 vãos livres ;- Sapatas em nylon para regulagem de níve</t>
  </si>
  <si>
    <t>Armazenamento de itens hospitalares - nas áreas de aclimatação, estabilização e reabilitação</t>
  </si>
  <si>
    <t>Balança 300 Kg</t>
  </si>
  <si>
    <t>Balança suspensa digital precisão de gancho 300 Kg </t>
  </si>
  <si>
    <t>Acompanhamento do ganho de peso dos animais no periodo da reabilitação, aclimatação.</t>
  </si>
  <si>
    <t>Balança Digital 40kg Alta Precisão</t>
  </si>
  <si>
    <t>Função Autodesliga - Painel digital frontal e traseiro - Balança Residencial de Alta Precisão - Funciona sem fio com duração de aproximada de 24 horas - Sua capacidade máxima é de até 40 Kg com escala de sensibilidade de 2 gramas, tela LED, Bivolt 110/220v</t>
  </si>
  <si>
    <t>Pesagem de alimentos nas áreas de reabilitação, estabilização e aclimatação</t>
  </si>
  <si>
    <t>Banana (Kg)</t>
  </si>
  <si>
    <t>Banana prata (Kg)</t>
  </si>
  <si>
    <t>Bancada Mesa Central Tampo Inox Industrial</t>
  </si>
  <si>
    <t>1,9metros, Tampo em aço inox 430 com 0,5 mm de espessura; Aguenta até 150 kg; Tratamento DFD (Desengraxante, Fosfatizante e Decapante); Galvanização eletrolítica; Alta resistência contra oxidação; Estrutura tubular em pintura epóxi;</t>
  </si>
  <si>
    <t>Para auxílio na administraão de dietas aos pacientes; ou durante procedimentos</t>
  </si>
  <si>
    <t>Banho Maria</t>
  </si>
  <si>
    <t>Banho-Maria Digital Cap-Lab 5 Litros</t>
  </si>
  <si>
    <t>Banqueta Veterinária Em Inox</t>
  </si>
  <si>
    <t>- Medidas: tampo 25 x 25 cm (comp x larg); 65cm (alt)</t>
  </si>
  <si>
    <t>Para a equipe de trabalho durante procedimentos</t>
  </si>
  <si>
    <t>Beterraba (Kg)</t>
  </si>
  <si>
    <t>Alimentação de peixe-boi em fase de aclimatação</t>
  </si>
  <si>
    <t>Bico de mamadeira</t>
  </si>
  <si>
    <t>Bico De Bebida De Ovelha Vermelho</t>
  </si>
  <si>
    <t>Alimentação dos filhotes de peixe-boi lactente</t>
  </si>
  <si>
    <t>Binóculos à prova d'água 20 x 50 mm</t>
  </si>
  <si>
    <t>Binoculo Pacifica 20X 50MM 212050</t>
  </si>
  <si>
    <t>Necessário para o monitoramento dos animais</t>
  </si>
  <si>
    <t>Bionew (100mL)</t>
  </si>
  <si>
    <t>VETNIL Bionew 100Ml - 1 unid</t>
  </si>
  <si>
    <t>Tratamento dos animais da UFPA/HV</t>
  </si>
  <si>
    <t>Biotin-11-dUTP Solution (1 mM)</t>
  </si>
  <si>
    <t>Análises de citogenética de peixes-bois</t>
  </si>
  <si>
    <t>Bolsa térmica</t>
  </si>
  <si>
    <t>Bolsa de Água Quente Mercur G com capacidade para 2 litros</t>
  </si>
  <si>
    <t>Compressa nos animais</t>
  </si>
  <si>
    <t>Bomba para piscina</t>
  </si>
  <si>
    <t>Bomba Filtrante Piscina  9463 L/h  Filtro 110V - Branco</t>
  </si>
  <si>
    <t>Manutenção e limpeza das piscinas</t>
  </si>
  <si>
    <t>Borrifador pulverizador</t>
  </si>
  <si>
    <t>2 Frascos Borrifador Pulverizador 500ml Spray</t>
  </si>
  <si>
    <t>Manejo dos animais na UFPA</t>
  </si>
  <si>
    <t>Bota de mergulho neoprene</t>
  </si>
  <si>
    <t>Bota Neoprene Mergulho 5 Mm Fun Dive - Solado Antiderrapante (36)</t>
  </si>
  <si>
    <t>Oferta de alimentos, manejo e inspeção da estrutura da aclimatação</t>
  </si>
  <si>
    <t>Bota Neoprene Mergulho 5 Mm Fun Dive - Solado Antiderrapante (37/38)</t>
  </si>
  <si>
    <t>Bota Neoprene Mergulho 5 Mm Fun Dive - Solado Antiderrapante (40)</t>
  </si>
  <si>
    <t>Bota Neoprene Mergulho 5 Mm Fun Dive - Solado Antiderrapante (42)</t>
  </si>
  <si>
    <t>Buscopan 10mg/mL (gotas) (20 mL)</t>
  </si>
  <si>
    <t>Buscopan Brometo de N Butil Escopolamina 10mg/ml Solução Oral 20ml - 1 unid</t>
  </si>
  <si>
    <t>Cabo de bisturi Nº 4</t>
  </si>
  <si>
    <t>Compatível com as lâminas descartáveis de Nº 18 a 36 que possuem tamanho maior. É usado para dissecação aguda e possui uma ranhura central para segurar o polegar e o indicador. Confeccionado em Aço Inoxidável Cirúrgico. Fácil limpeza e esterilização. Qualidade verificada para garantir imperfeições, como arestas ou rebarbas indesejadas, reduzindo o risco de infecção e contaminação cruzada.</t>
  </si>
  <si>
    <t>Coleta de amostras de peixes-bois e tartarugas marinhas</t>
  </si>
  <si>
    <t>Caiaque duplo fibra</t>
  </si>
  <si>
    <t>Caiaque Duplo De Pesca Modelo K2 Pró Fibra 2 Lugares + Remos</t>
  </si>
  <si>
    <t>Necessário no monitoramento de animais</t>
  </si>
  <si>
    <t>Caixa Contractor 53 L</t>
  </si>
  <si>
    <t>Irwin Caixa Organizadora Contractor com Rodas, Ideal para Organizar e Transportar Ferramentas</t>
  </si>
  <si>
    <t>Caixa organizadora para transporte de material para atendimento a encalhes de peixes-bois e tartarugas marinhas</t>
  </si>
  <si>
    <t>Caixa d'água de 1000 L</t>
  </si>
  <si>
    <t>Caixa D'Água em Polietileno 1000 Litros Azul</t>
  </si>
  <si>
    <t>Para conteção e estabilização</t>
  </si>
  <si>
    <t>Caixa d'água de 10000 L</t>
  </si>
  <si>
    <t>Caixa d'água de 10.000 L, de polietileno</t>
  </si>
  <si>
    <t>Caixa de suporte à vida para uso emergencial</t>
  </si>
  <si>
    <t>Caixa d'água de 1500 L</t>
  </si>
  <si>
    <t>Caixa d'água de 1500 L, altura da caixa com tampa 1,05m, diâmetro com a tampa 1,77m,  diâmetro da base 1,43m</t>
  </si>
  <si>
    <t>Caixa d'água de 2000 L</t>
  </si>
  <si>
    <t>Caixa d'água de 2000 L, de polietileno</t>
  </si>
  <si>
    <t>Caixa d'água de 5000 L</t>
  </si>
  <si>
    <t>Caixa d'água de 5000 L, de polietileno</t>
  </si>
  <si>
    <t>Câmara de Neubauer Dupla Face Espelhada</t>
  </si>
  <si>
    <t>Câmara De Neubauer Dupla Melhorada - C1010 - Cral</t>
  </si>
  <si>
    <t>Câmera a prova d'água</t>
  </si>
  <si>
    <t>Câmera à Prova D'água com 5.3K60, 27MP, Vídeo + Foto HDR, HyperSmooth 6.0, Trava de horizonte 360°, Live + webcam, Áudio por Bluetooth, Bateria enduro, QUIK</t>
  </si>
  <si>
    <t>Necessário para capturar imagens dos animais embaixo d'água e, assim, analisar seus comportamentos e possíveis lesões</t>
  </si>
  <si>
    <t>CAMERA DE VIDEO DIGITAL LEICA FLEXACAM C</t>
  </si>
  <si>
    <t>Camera digital colorida com sensor CMOS (1/2.3)" - Possível operar com monitor HDMI 4K, utilizando o software Enersight OSD - Alta definição de imagem ao vivo 4k, 60fps, HDR - Imagens JPG com até 12 MP - Gravação de vídeo MJPG Full HD com 30 fps - Controle da câmera via PC (Win) utilizando Enersight Desktop, via smartphone/tablet com o Enersight Mobile App (conexão com Ethernet ou Wifi) ou via USB mouse (não incluso) (modoEnersight OSD) - Capture diretamente no pendrive ou envie  imagens por email*(modo Enersight OSD) - Conexão USB-C para PC utilizando o Enersight Desktop -Suportado: Win 10Pro/ Win 11 / iOS / Android - Incluso: Cabo HDMI, cabo USBC-A.</t>
  </si>
  <si>
    <t>A camera fotográfica acoplada e instalada no microscópio permitirá a realização de analises importantes assim como a captura de imagens de lâminas histológicas.</t>
  </si>
  <si>
    <t>Camera DSLR</t>
  </si>
  <si>
    <t>Câmera Canon Eos Rebel T7+ Com Lente Ef-s 18-55mm Is II</t>
  </si>
  <si>
    <t>Registros fotográficos nos resgates e monitoramentos dos peixes-bois</t>
  </si>
  <si>
    <t>CARRO CURATIVO COM GABINETE MDF FABRICADO EM INOX</t>
  </si>
  <si>
    <t>ACOMPANHA: RODIZIOS GIRATORIOS E GABINETE 4 GAVETAS EM MDF ACL: 80X60X50CM</t>
  </si>
  <si>
    <t>para material de curativos e hospitalares</t>
  </si>
  <si>
    <t>Litro</t>
  </si>
  <si>
    <t>Unidade de Medida</t>
  </si>
  <si>
    <t>Unidade</t>
  </si>
  <si>
    <t>Caixa</t>
  </si>
  <si>
    <t>Descarpack Agulha Hipodérmica Verde 25 X 8 Mm - 100 Unidade</t>
  </si>
  <si>
    <t>KG</t>
  </si>
  <si>
    <t xml:space="preserve"> Unidade</t>
  </si>
  <si>
    <t>Kg</t>
  </si>
  <si>
    <t>2 semestre</t>
  </si>
  <si>
    <t>3 semetre</t>
  </si>
  <si>
    <t>4 semestre</t>
  </si>
  <si>
    <t>5 semestre</t>
  </si>
  <si>
    <t>6 semestre</t>
  </si>
  <si>
    <t>1 semestre</t>
  </si>
  <si>
    <t xml:space="preserve">2 
</t>
  </si>
  <si>
    <t xml:space="preserve">1 
</t>
  </si>
  <si>
    <t>Quantidade Total TCCM</t>
  </si>
  <si>
    <t xml:space="preserve">3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</si>
</sst>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#,##0.00&quot; &quot;;&quot;-&quot;#&quot; &quot;;&quot; &quot;@&quot; &quot;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Nunito"/>
    </font>
    <font>
      <sz val="11"/>
      <color rgb="FF000000"/>
      <name val="Nunito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Excel Built-in Currency" xfId="1" xr:uid="{7D0F1269-3C18-4C1E-9BFB-349DD81F50F1}"/>
    <cellStyle name="Normal" xfId="0" builtinId="0"/>
  </cellStyles>
  <dxfs count="18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fill>
        <patternFill patternType="solid">
          <fgColor rgb="FFEEEEEE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EA131-6674-4245-A089-BABB6DE9ECC2}" name="Tabela1" displayName="Tabela1" ref="A1:M50" totalsRowShown="0" headerRowDxfId="17" dataDxfId="15" headerRowBorderDxfId="16" tableBorderDxfId="14" totalsRowBorderDxfId="13" headerRowCellStyle="Excel Built-in Currency">
  <autoFilter ref="A1:M50" xr:uid="{B28EA131-6674-4245-A089-BABB6DE9ECC2}"/>
  <tableColumns count="13">
    <tableColumn id="1" xr3:uid="{0B5422A3-D938-452E-B696-6297BA69D16F}" name="Nº" dataDxfId="12">
      <calculatedColumnFormula>A1+1</calculatedColumnFormula>
    </tableColumn>
    <tableColumn id="3" xr3:uid="{6BBF22A4-6EA0-4F16-B185-D666DB91C55B}" name="ITEM" dataDxfId="11"/>
    <tableColumn id="2" xr3:uid="{52E9C0AA-C113-41A0-9103-83E33DC61701}" name="TIPO DE MATERIAL" dataDxfId="1"/>
    <tableColumn id="4" xr3:uid="{469FE3BF-98B3-45DE-9AD3-D1B0230C8BA9}" name="DESCRIÇÃO" dataDxfId="10"/>
    <tableColumn id="5" xr3:uid="{A6AD2F65-13EC-4C1C-9F30-9D2B535772BE}" name="JUSTIFICATIVA" dataDxfId="9"/>
    <tableColumn id="7" xr3:uid="{24AFCF4F-5CB6-4958-9ACF-E4C2899F6003}" name="Unidade de Medida" dataDxfId="0"/>
    <tableColumn id="6" xr3:uid="{4962B078-5D6D-40E7-BB76-E8424F33857A}" name="1 semestre" dataDxfId="8"/>
    <tableColumn id="25" xr3:uid="{46A41038-F412-4AD2-A455-6D16BD6E27D7}" name="2 semestre" dataDxfId="7"/>
    <tableColumn id="26" xr3:uid="{9A0B0814-19EE-43C2-9EEE-14ABCDD426F4}" name="3 semetre" dataDxfId="6"/>
    <tableColumn id="27" xr3:uid="{B144D08D-A23D-41C0-9326-1958BE945429}" name="4 semestre" dataDxfId="5"/>
    <tableColumn id="28" xr3:uid="{FD369A57-A89B-4614-A92B-1753019FA532}" name="5 semestre" dataDxfId="4"/>
    <tableColumn id="29" xr3:uid="{CB928EF5-06F1-4EEC-8ABA-B90F3C91CD1D}" name="6 semestre" dataDxfId="3"/>
    <tableColumn id="8" xr3:uid="{2B2B6188-867D-406C-B0F9-A6FE94121575}" name="Quantidade Total TCCM" dataDxfId="2">
      <calculatedColumnFormula>SUM(G2,H2,I2,J2,K2,L2)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9236-0D1F-44C6-9D3C-D86649514FAD}">
  <dimension ref="A1:M50"/>
  <sheetViews>
    <sheetView tabSelected="1" zoomScale="85" zoomScaleNormal="85" workbookViewId="0">
      <selection sqref="A1:F50"/>
    </sheetView>
  </sheetViews>
  <sheetFormatPr defaultRowHeight="15" x14ac:dyDescent="0.25"/>
  <cols>
    <col min="2" max="2" width="28.28515625" customWidth="1"/>
    <col min="3" max="4" width="21.5703125" customWidth="1"/>
    <col min="5" max="5" width="18.85546875" customWidth="1"/>
    <col min="6" max="6" width="29.140625" customWidth="1"/>
    <col min="7" max="7" width="17.7109375" customWidth="1"/>
    <col min="8" max="12" width="23.140625" customWidth="1"/>
    <col min="13" max="13" width="15.28515625" customWidth="1"/>
    <col min="14" max="14" width="16.5703125" customWidth="1"/>
  </cols>
  <sheetData>
    <row r="1" spans="1:13" ht="66" x14ac:dyDescent="0.25">
      <c r="A1" s="3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137</v>
      </c>
      <c r="G1" s="4" t="s">
        <v>149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152</v>
      </c>
    </row>
    <row r="2" spans="1:13" ht="105" x14ac:dyDescent="0.25">
      <c r="A2" s="2">
        <v>1</v>
      </c>
      <c r="B2" s="1" t="s">
        <v>6</v>
      </c>
      <c r="C2" s="1" t="s">
        <v>5</v>
      </c>
      <c r="D2" s="1" t="s">
        <v>6</v>
      </c>
      <c r="E2" s="1" t="s">
        <v>7</v>
      </c>
      <c r="F2" s="1" t="s">
        <v>136</v>
      </c>
      <c r="G2" s="1">
        <v>2</v>
      </c>
      <c r="H2" s="1"/>
      <c r="I2" s="1"/>
      <c r="J2" s="1"/>
      <c r="K2" s="1"/>
      <c r="L2" s="1"/>
      <c r="M2" s="1">
        <f t="shared" ref="M2:M33" si="0">SUM(G2,H2,I2,J2,K2,L2)</f>
        <v>2</v>
      </c>
    </row>
    <row r="3" spans="1:13" ht="150" x14ac:dyDescent="0.25">
      <c r="A3" s="2">
        <v>2</v>
      </c>
      <c r="B3" s="1" t="s">
        <v>8</v>
      </c>
      <c r="C3" s="1" t="s">
        <v>5</v>
      </c>
      <c r="D3" s="1" t="s">
        <v>9</v>
      </c>
      <c r="E3" s="1" t="s">
        <v>10</v>
      </c>
      <c r="F3" s="1" t="s">
        <v>138</v>
      </c>
      <c r="G3" s="1">
        <v>2</v>
      </c>
      <c r="H3" s="1"/>
      <c r="I3" s="1"/>
      <c r="J3" s="1"/>
      <c r="K3" s="1"/>
      <c r="L3" s="1"/>
      <c r="M3" s="1">
        <f t="shared" si="0"/>
        <v>2</v>
      </c>
    </row>
    <row r="4" spans="1:13" ht="45" x14ac:dyDescent="0.25">
      <c r="A4" s="2">
        <v>4</v>
      </c>
      <c r="B4" s="1" t="s">
        <v>11</v>
      </c>
      <c r="C4" s="1" t="s">
        <v>5</v>
      </c>
      <c r="D4" s="1" t="s">
        <v>12</v>
      </c>
      <c r="E4" s="1" t="s">
        <v>13</v>
      </c>
      <c r="F4" s="1" t="s">
        <v>138</v>
      </c>
      <c r="G4" s="1">
        <v>1</v>
      </c>
      <c r="H4" s="1"/>
      <c r="I4" s="1"/>
      <c r="J4" s="1"/>
      <c r="K4" s="1"/>
      <c r="L4" s="1"/>
      <c r="M4" s="1">
        <f t="shared" si="0"/>
        <v>1</v>
      </c>
    </row>
    <row r="5" spans="1:13" ht="75" x14ac:dyDescent="0.25">
      <c r="A5" s="2">
        <f t="shared" ref="A5:A50" si="1">A4+1</f>
        <v>5</v>
      </c>
      <c r="B5" s="1" t="s">
        <v>14</v>
      </c>
      <c r="C5" s="1" t="s">
        <v>5</v>
      </c>
      <c r="D5" s="1" t="s">
        <v>15</v>
      </c>
      <c r="E5" s="1" t="s">
        <v>16</v>
      </c>
      <c r="F5" s="1" t="s">
        <v>139</v>
      </c>
      <c r="G5" s="1" t="s">
        <v>150</v>
      </c>
      <c r="H5" s="1">
        <v>2</v>
      </c>
      <c r="I5" s="1">
        <v>2</v>
      </c>
      <c r="J5" s="1">
        <v>2</v>
      </c>
      <c r="K5" s="1">
        <v>2</v>
      </c>
      <c r="L5" s="1"/>
      <c r="M5" s="1">
        <f t="shared" si="0"/>
        <v>8</v>
      </c>
    </row>
    <row r="6" spans="1:13" ht="60" x14ac:dyDescent="0.25">
      <c r="A6" s="2">
        <f t="shared" si="1"/>
        <v>6</v>
      </c>
      <c r="B6" s="1" t="s">
        <v>17</v>
      </c>
      <c r="C6" s="1" t="s">
        <v>5</v>
      </c>
      <c r="D6" s="1" t="s">
        <v>140</v>
      </c>
      <c r="E6" s="1" t="s">
        <v>18</v>
      </c>
      <c r="F6" s="1" t="s">
        <v>139</v>
      </c>
      <c r="G6" s="1">
        <v>2</v>
      </c>
      <c r="H6" s="1"/>
      <c r="I6" s="1"/>
      <c r="J6" s="1"/>
      <c r="K6" s="1"/>
      <c r="L6" s="1"/>
      <c r="M6" s="1">
        <f t="shared" si="0"/>
        <v>2</v>
      </c>
    </row>
    <row r="7" spans="1:13" ht="60" x14ac:dyDescent="0.25">
      <c r="A7" s="2">
        <f t="shared" si="1"/>
        <v>7</v>
      </c>
      <c r="B7" s="1" t="s">
        <v>19</v>
      </c>
      <c r="C7" s="1" t="s">
        <v>5</v>
      </c>
      <c r="D7" s="1" t="s">
        <v>20</v>
      </c>
      <c r="E7" s="1" t="s">
        <v>18</v>
      </c>
      <c r="F7" s="1" t="s">
        <v>139</v>
      </c>
      <c r="G7" s="1" t="s">
        <v>151</v>
      </c>
      <c r="H7" s="1">
        <v>1</v>
      </c>
      <c r="I7" s="1">
        <v>1</v>
      </c>
      <c r="J7" s="1"/>
      <c r="K7" s="1"/>
      <c r="L7" s="1"/>
      <c r="M7" s="1">
        <f t="shared" si="0"/>
        <v>2</v>
      </c>
    </row>
    <row r="8" spans="1:13" ht="60" x14ac:dyDescent="0.25">
      <c r="A8" s="2">
        <f t="shared" si="1"/>
        <v>8</v>
      </c>
      <c r="B8" s="1" t="s">
        <v>21</v>
      </c>
      <c r="C8" s="1" t="s">
        <v>5</v>
      </c>
      <c r="D8" s="1" t="s">
        <v>22</v>
      </c>
      <c r="E8" s="1" t="s">
        <v>23</v>
      </c>
      <c r="F8" s="1" t="s">
        <v>138</v>
      </c>
      <c r="G8" s="1" t="s">
        <v>153</v>
      </c>
      <c r="H8" s="1">
        <v>2</v>
      </c>
      <c r="I8" s="1">
        <v>2</v>
      </c>
      <c r="J8" s="1">
        <v>2</v>
      </c>
      <c r="K8" s="1"/>
      <c r="L8" s="1"/>
      <c r="M8" s="1">
        <f t="shared" si="0"/>
        <v>6</v>
      </c>
    </row>
    <row r="9" spans="1:13" ht="90" x14ac:dyDescent="0.25">
      <c r="A9" s="2">
        <f t="shared" si="1"/>
        <v>9</v>
      </c>
      <c r="B9" s="1" t="s">
        <v>24</v>
      </c>
      <c r="C9" s="1" t="s">
        <v>5</v>
      </c>
      <c r="D9" s="1" t="s">
        <v>25</v>
      </c>
      <c r="E9" s="1" t="s">
        <v>26</v>
      </c>
      <c r="F9" s="1" t="s">
        <v>138</v>
      </c>
      <c r="G9" s="1">
        <v>1</v>
      </c>
      <c r="H9" s="1"/>
      <c r="I9" s="1"/>
      <c r="J9" s="1"/>
      <c r="K9" s="1"/>
      <c r="L9" s="1">
        <v>1</v>
      </c>
      <c r="M9" s="1">
        <f t="shared" si="0"/>
        <v>2</v>
      </c>
    </row>
    <row r="10" spans="1:13" ht="90" x14ac:dyDescent="0.25">
      <c r="A10" s="2">
        <f t="shared" si="1"/>
        <v>10</v>
      </c>
      <c r="B10" s="1" t="s">
        <v>27</v>
      </c>
      <c r="C10" s="1" t="s">
        <v>5</v>
      </c>
      <c r="D10" s="1" t="s">
        <v>28</v>
      </c>
      <c r="E10" s="1" t="s">
        <v>29</v>
      </c>
      <c r="F10" s="1" t="s">
        <v>138</v>
      </c>
      <c r="G10" s="1">
        <v>10</v>
      </c>
      <c r="H10" s="1">
        <v>8</v>
      </c>
      <c r="I10" s="1">
        <v>5</v>
      </c>
      <c r="J10" s="1">
        <v>5</v>
      </c>
      <c r="K10" s="1">
        <v>2</v>
      </c>
      <c r="L10" s="1"/>
      <c r="M10" s="1">
        <f t="shared" si="0"/>
        <v>30</v>
      </c>
    </row>
    <row r="11" spans="1:13" ht="60" x14ac:dyDescent="0.25">
      <c r="A11" s="2">
        <f t="shared" si="1"/>
        <v>11</v>
      </c>
      <c r="B11" s="1" t="s">
        <v>30</v>
      </c>
      <c r="C11" s="1" t="s">
        <v>5</v>
      </c>
      <c r="D11" s="1" t="s">
        <v>31</v>
      </c>
      <c r="E11" s="1" t="s">
        <v>32</v>
      </c>
      <c r="F11" s="1" t="s">
        <v>138</v>
      </c>
      <c r="G11" s="1">
        <v>5</v>
      </c>
      <c r="H11" s="1">
        <v>2</v>
      </c>
      <c r="I11" s="1"/>
      <c r="J11" s="1"/>
      <c r="K11" s="1"/>
      <c r="L11" s="1"/>
      <c r="M11" s="1">
        <f t="shared" si="0"/>
        <v>7</v>
      </c>
    </row>
    <row r="12" spans="1:13" ht="45" x14ac:dyDescent="0.25">
      <c r="A12" s="2">
        <f t="shared" si="1"/>
        <v>12</v>
      </c>
      <c r="B12" s="1" t="s">
        <v>33</v>
      </c>
      <c r="C12" s="1" t="s">
        <v>5</v>
      </c>
      <c r="D12" s="1" t="s">
        <v>34</v>
      </c>
      <c r="E12" s="1" t="s">
        <v>35</v>
      </c>
      <c r="F12" s="1" t="s">
        <v>138</v>
      </c>
      <c r="G12" s="1"/>
      <c r="H12" s="1">
        <v>2</v>
      </c>
      <c r="I12" s="1"/>
      <c r="J12" s="1">
        <v>3</v>
      </c>
      <c r="K12" s="1"/>
      <c r="L12" s="1"/>
      <c r="M12" s="1">
        <f t="shared" si="0"/>
        <v>5</v>
      </c>
    </row>
    <row r="13" spans="1:13" ht="60" x14ac:dyDescent="0.25">
      <c r="A13" s="2">
        <f t="shared" si="1"/>
        <v>13</v>
      </c>
      <c r="B13" s="1" t="s">
        <v>36</v>
      </c>
      <c r="C13" s="1" t="s">
        <v>5</v>
      </c>
      <c r="D13" s="1" t="s">
        <v>37</v>
      </c>
      <c r="E13" s="1" t="s">
        <v>38</v>
      </c>
      <c r="F13" s="1" t="s">
        <v>141</v>
      </c>
      <c r="G13" s="1">
        <v>342</v>
      </c>
      <c r="H13" s="1">
        <v>299</v>
      </c>
      <c r="I13" s="1">
        <v>299</v>
      </c>
      <c r="J13" s="1">
        <v>344</v>
      </c>
      <c r="K13" s="1">
        <v>515</v>
      </c>
      <c r="L13" s="1">
        <v>773</v>
      </c>
      <c r="M13" s="1">
        <f t="shared" si="0"/>
        <v>2572</v>
      </c>
    </row>
    <row r="14" spans="1:13" ht="135" x14ac:dyDescent="0.25">
      <c r="A14" s="2">
        <f t="shared" si="1"/>
        <v>14</v>
      </c>
      <c r="B14" s="1" t="s">
        <v>40</v>
      </c>
      <c r="C14" s="1" t="s">
        <v>39</v>
      </c>
      <c r="D14" s="1" t="s">
        <v>41</v>
      </c>
      <c r="E14" s="1" t="s">
        <v>42</v>
      </c>
      <c r="F14" s="1" t="s">
        <v>142</v>
      </c>
      <c r="G14" s="1">
        <v>1</v>
      </c>
      <c r="H14" s="1">
        <v>1</v>
      </c>
      <c r="I14" s="1"/>
      <c r="J14" s="1">
        <v>3</v>
      </c>
      <c r="K14" s="1">
        <v>7</v>
      </c>
      <c r="L14" s="1">
        <v>1</v>
      </c>
      <c r="M14" s="1">
        <f t="shared" si="0"/>
        <v>13</v>
      </c>
    </row>
    <row r="15" spans="1:13" ht="75" x14ac:dyDescent="0.25">
      <c r="A15" s="2">
        <f t="shared" si="1"/>
        <v>15</v>
      </c>
      <c r="B15" s="1" t="s">
        <v>43</v>
      </c>
      <c r="C15" s="1" t="s">
        <v>39</v>
      </c>
      <c r="D15" s="1" t="s">
        <v>44</v>
      </c>
      <c r="E15" s="1" t="s">
        <v>45</v>
      </c>
      <c r="F15" s="1" t="s">
        <v>138</v>
      </c>
      <c r="G15" s="1"/>
      <c r="H15" s="1">
        <v>1</v>
      </c>
      <c r="I15" s="1"/>
      <c r="J15" s="1"/>
      <c r="K15" s="1"/>
      <c r="L15" s="1"/>
      <c r="M15" s="1">
        <f t="shared" si="0"/>
        <v>1</v>
      </c>
    </row>
    <row r="16" spans="1:13" ht="135" x14ac:dyDescent="0.25">
      <c r="A16" s="2">
        <f t="shared" si="1"/>
        <v>16</v>
      </c>
      <c r="B16" s="1" t="s">
        <v>46</v>
      </c>
      <c r="C16" s="1" t="s">
        <v>39</v>
      </c>
      <c r="D16" s="1" t="s">
        <v>47</v>
      </c>
      <c r="E16" s="1" t="s">
        <v>48</v>
      </c>
      <c r="F16" s="1" t="s">
        <v>138</v>
      </c>
      <c r="G16" s="1">
        <v>1</v>
      </c>
      <c r="H16" s="1"/>
      <c r="I16" s="1"/>
      <c r="J16" s="1">
        <v>2</v>
      </c>
      <c r="K16" s="1"/>
      <c r="L16" s="1"/>
      <c r="M16" s="1">
        <f t="shared" si="0"/>
        <v>3</v>
      </c>
    </row>
    <row r="17" spans="1:13" ht="135" x14ac:dyDescent="0.25">
      <c r="A17" s="2">
        <f t="shared" si="1"/>
        <v>17</v>
      </c>
      <c r="B17" s="1" t="s">
        <v>49</v>
      </c>
      <c r="C17" s="1" t="s">
        <v>39</v>
      </c>
      <c r="D17" s="1" t="s">
        <v>50</v>
      </c>
      <c r="E17" s="1" t="s">
        <v>51</v>
      </c>
      <c r="F17" s="1" t="s">
        <v>138</v>
      </c>
      <c r="G17" s="1"/>
      <c r="H17" s="1">
        <v>1</v>
      </c>
      <c r="I17" s="1">
        <v>1</v>
      </c>
      <c r="J17" s="1">
        <v>1</v>
      </c>
      <c r="K17" s="1">
        <v>1</v>
      </c>
      <c r="L17" s="1"/>
      <c r="M17" s="1">
        <f t="shared" si="0"/>
        <v>4</v>
      </c>
    </row>
    <row r="18" spans="1:13" ht="150" x14ac:dyDescent="0.25">
      <c r="A18" s="2">
        <f t="shared" si="1"/>
        <v>18</v>
      </c>
      <c r="B18" s="1" t="s">
        <v>52</v>
      </c>
      <c r="C18" s="1" t="s">
        <v>39</v>
      </c>
      <c r="D18" s="1" t="s">
        <v>53</v>
      </c>
      <c r="E18" s="1" t="s">
        <v>54</v>
      </c>
      <c r="F18" s="1" t="s">
        <v>138</v>
      </c>
      <c r="G18" s="1"/>
      <c r="H18" s="1"/>
      <c r="I18" s="1">
        <v>1</v>
      </c>
      <c r="J18" s="1">
        <v>1</v>
      </c>
      <c r="K18" s="1">
        <v>1</v>
      </c>
      <c r="L18" s="1"/>
      <c r="M18" s="1">
        <f t="shared" si="0"/>
        <v>3</v>
      </c>
    </row>
    <row r="19" spans="1:13" ht="90" x14ac:dyDescent="0.25">
      <c r="A19" s="2">
        <f t="shared" si="1"/>
        <v>19</v>
      </c>
      <c r="B19" s="1" t="s">
        <v>55</v>
      </c>
      <c r="C19" s="1" t="s">
        <v>39</v>
      </c>
      <c r="D19" s="1" t="s">
        <v>56</v>
      </c>
      <c r="E19" s="1" t="s">
        <v>57</v>
      </c>
      <c r="F19" s="1" t="s">
        <v>138</v>
      </c>
      <c r="G19" s="1">
        <v>1</v>
      </c>
      <c r="H19" s="1"/>
      <c r="I19" s="1"/>
      <c r="J19" s="1">
        <v>1</v>
      </c>
      <c r="K19" s="1">
        <v>2</v>
      </c>
      <c r="L19" s="1"/>
      <c r="M19" s="1">
        <f t="shared" si="0"/>
        <v>4</v>
      </c>
    </row>
    <row r="20" spans="1:13" ht="210" x14ac:dyDescent="0.25">
      <c r="A20" s="2">
        <f t="shared" si="1"/>
        <v>20</v>
      </c>
      <c r="B20" s="1" t="s">
        <v>58</v>
      </c>
      <c r="C20" s="1" t="s">
        <v>39</v>
      </c>
      <c r="D20" s="1" t="s">
        <v>59</v>
      </c>
      <c r="E20" s="1" t="s">
        <v>60</v>
      </c>
      <c r="F20" s="1" t="s">
        <v>138</v>
      </c>
      <c r="G20" s="1">
        <v>1</v>
      </c>
      <c r="H20" s="1"/>
      <c r="I20" s="1"/>
      <c r="J20" s="1">
        <v>2</v>
      </c>
      <c r="K20" s="1"/>
      <c r="L20" s="1"/>
      <c r="M20" s="1">
        <f t="shared" si="0"/>
        <v>3</v>
      </c>
    </row>
    <row r="21" spans="1:13" ht="60" x14ac:dyDescent="0.25">
      <c r="A21" s="2">
        <f t="shared" si="1"/>
        <v>21</v>
      </c>
      <c r="B21" s="1" t="s">
        <v>61</v>
      </c>
      <c r="C21" s="1" t="s">
        <v>5</v>
      </c>
      <c r="D21" s="1" t="s">
        <v>62</v>
      </c>
      <c r="E21" s="1" t="s">
        <v>38</v>
      </c>
      <c r="F21" s="1" t="s">
        <v>141</v>
      </c>
      <c r="G21" s="1">
        <v>441</v>
      </c>
      <c r="H21" s="1">
        <v>563</v>
      </c>
      <c r="I21" s="1">
        <v>431</v>
      </c>
      <c r="J21" s="1">
        <v>647</v>
      </c>
      <c r="K21" s="1">
        <v>970</v>
      </c>
      <c r="L21" s="1">
        <v>1455</v>
      </c>
      <c r="M21" s="1">
        <f t="shared" si="0"/>
        <v>4507</v>
      </c>
    </row>
    <row r="22" spans="1:13" ht="210" x14ac:dyDescent="0.25">
      <c r="A22" s="2">
        <f t="shared" si="1"/>
        <v>22</v>
      </c>
      <c r="B22" s="1" t="s">
        <v>63</v>
      </c>
      <c r="C22" s="1" t="s">
        <v>39</v>
      </c>
      <c r="D22" s="1" t="s">
        <v>64</v>
      </c>
      <c r="E22" s="1" t="s">
        <v>65</v>
      </c>
      <c r="F22" s="1" t="s">
        <v>138</v>
      </c>
      <c r="G22" s="1">
        <v>1</v>
      </c>
      <c r="H22" s="1"/>
      <c r="I22" s="1"/>
      <c r="J22" s="1">
        <v>1</v>
      </c>
      <c r="K22" s="1">
        <v>2</v>
      </c>
      <c r="L22" s="1"/>
      <c r="M22" s="1">
        <f t="shared" si="0"/>
        <v>4</v>
      </c>
    </row>
    <row r="23" spans="1:13" ht="75" x14ac:dyDescent="0.25">
      <c r="A23" s="2">
        <f t="shared" si="1"/>
        <v>23</v>
      </c>
      <c r="B23" s="1" t="s">
        <v>66</v>
      </c>
      <c r="C23" s="1" t="s">
        <v>39</v>
      </c>
      <c r="D23" s="1" t="s">
        <v>67</v>
      </c>
      <c r="E23" s="1" t="s">
        <v>45</v>
      </c>
      <c r="F23" s="1" t="s">
        <v>138</v>
      </c>
      <c r="G23" s="1">
        <v>1</v>
      </c>
      <c r="H23" s="1"/>
      <c r="I23" s="1"/>
      <c r="J23" s="1"/>
      <c r="K23" s="1"/>
      <c r="L23" s="1"/>
      <c r="M23" s="1">
        <f t="shared" si="0"/>
        <v>1</v>
      </c>
    </row>
    <row r="24" spans="1:13" ht="45" x14ac:dyDescent="0.25">
      <c r="A24" s="2">
        <f t="shared" si="1"/>
        <v>24</v>
      </c>
      <c r="B24" s="1" t="s">
        <v>68</v>
      </c>
      <c r="C24" s="1" t="s">
        <v>39</v>
      </c>
      <c r="D24" s="1" t="s">
        <v>69</v>
      </c>
      <c r="E24" s="1" t="s">
        <v>70</v>
      </c>
      <c r="F24" s="1" t="s">
        <v>138</v>
      </c>
      <c r="G24" s="1">
        <v>2</v>
      </c>
      <c r="H24" s="1"/>
      <c r="I24" s="1"/>
      <c r="J24" s="1"/>
      <c r="K24" s="1">
        <v>3</v>
      </c>
      <c r="L24" s="1"/>
      <c r="M24" s="1">
        <f t="shared" si="0"/>
        <v>5</v>
      </c>
    </row>
    <row r="25" spans="1:13" ht="45" x14ac:dyDescent="0.25">
      <c r="A25" s="2">
        <f t="shared" si="1"/>
        <v>25</v>
      </c>
      <c r="B25" s="1" t="s">
        <v>71</v>
      </c>
      <c r="C25" s="1" t="s">
        <v>5</v>
      </c>
      <c r="D25" s="1" t="s">
        <v>71</v>
      </c>
      <c r="E25" s="1" t="s">
        <v>72</v>
      </c>
      <c r="F25" s="1" t="s">
        <v>143</v>
      </c>
      <c r="G25" s="1">
        <v>1008</v>
      </c>
      <c r="H25" s="1">
        <v>1285</v>
      </c>
      <c r="I25" s="1">
        <v>984</v>
      </c>
      <c r="J25" s="1">
        <v>1476</v>
      </c>
      <c r="K25" s="1">
        <v>2214</v>
      </c>
      <c r="L25" s="1">
        <v>3321</v>
      </c>
      <c r="M25" s="1">
        <f t="shared" si="0"/>
        <v>10288</v>
      </c>
    </row>
    <row r="26" spans="1:13" ht="45" x14ac:dyDescent="0.25">
      <c r="A26" s="2">
        <f t="shared" si="1"/>
        <v>26</v>
      </c>
      <c r="B26" s="1" t="s">
        <v>73</v>
      </c>
      <c r="C26" s="1" t="s">
        <v>5</v>
      </c>
      <c r="D26" s="1" t="s">
        <v>74</v>
      </c>
      <c r="E26" s="1" t="s">
        <v>75</v>
      </c>
      <c r="F26" s="1" t="s">
        <v>138</v>
      </c>
      <c r="G26" s="1">
        <v>2</v>
      </c>
      <c r="H26" s="1"/>
      <c r="I26" s="1">
        <v>2</v>
      </c>
      <c r="J26" s="1"/>
      <c r="K26" s="1">
        <v>5</v>
      </c>
      <c r="L26" s="1">
        <v>5</v>
      </c>
      <c r="M26" s="1">
        <f t="shared" si="0"/>
        <v>14</v>
      </c>
    </row>
    <row r="27" spans="1:13" ht="45" x14ac:dyDescent="0.25">
      <c r="A27" s="2">
        <f t="shared" si="1"/>
        <v>27</v>
      </c>
      <c r="B27" s="1" t="s">
        <v>76</v>
      </c>
      <c r="C27" s="1" t="s">
        <v>39</v>
      </c>
      <c r="D27" s="1" t="s">
        <v>77</v>
      </c>
      <c r="E27" s="1" t="s">
        <v>78</v>
      </c>
      <c r="F27" s="1" t="s">
        <v>138</v>
      </c>
      <c r="G27" s="1"/>
      <c r="H27" s="1">
        <v>1</v>
      </c>
      <c r="I27" s="1"/>
      <c r="J27" s="1">
        <v>2</v>
      </c>
      <c r="K27" s="1">
        <v>1</v>
      </c>
      <c r="L27" s="1"/>
      <c r="M27" s="1">
        <f t="shared" si="0"/>
        <v>4</v>
      </c>
    </row>
    <row r="28" spans="1:13" ht="45" x14ac:dyDescent="0.25">
      <c r="A28" s="2">
        <f t="shared" si="1"/>
        <v>28</v>
      </c>
      <c r="B28" s="1" t="s">
        <v>79</v>
      </c>
      <c r="C28" s="1" t="s">
        <v>5</v>
      </c>
      <c r="D28" s="1" t="s">
        <v>80</v>
      </c>
      <c r="E28" s="1" t="s">
        <v>81</v>
      </c>
      <c r="F28" s="1" t="s">
        <v>138</v>
      </c>
      <c r="G28" s="1">
        <v>1</v>
      </c>
      <c r="H28" s="1"/>
      <c r="I28" s="1">
        <v>2</v>
      </c>
      <c r="J28" s="1"/>
      <c r="K28" s="1"/>
      <c r="L28" s="1">
        <v>2</v>
      </c>
      <c r="M28" s="1">
        <f t="shared" si="0"/>
        <v>5</v>
      </c>
    </row>
    <row r="29" spans="1:13" ht="45" x14ac:dyDescent="0.25">
      <c r="A29" s="2">
        <f t="shared" si="1"/>
        <v>29</v>
      </c>
      <c r="B29" s="1" t="s">
        <v>82</v>
      </c>
      <c r="C29" s="1" t="s">
        <v>5</v>
      </c>
      <c r="D29" s="1" t="s">
        <v>82</v>
      </c>
      <c r="E29" s="1" t="s">
        <v>83</v>
      </c>
      <c r="F29" s="1" t="s">
        <v>138</v>
      </c>
      <c r="G29" s="1"/>
      <c r="H29" s="1">
        <v>2</v>
      </c>
      <c r="I29" s="1"/>
      <c r="J29" s="1"/>
      <c r="K29" s="1"/>
      <c r="L29" s="1"/>
      <c r="M29" s="1">
        <f t="shared" si="0"/>
        <v>2</v>
      </c>
    </row>
    <row r="30" spans="1:13" ht="60" x14ac:dyDescent="0.25">
      <c r="A30" s="2">
        <f t="shared" si="1"/>
        <v>30</v>
      </c>
      <c r="B30" s="1" t="s">
        <v>84</v>
      </c>
      <c r="C30" s="1" t="s">
        <v>5</v>
      </c>
      <c r="D30" s="1" t="s">
        <v>85</v>
      </c>
      <c r="E30" s="1" t="s">
        <v>86</v>
      </c>
      <c r="F30" s="1" t="s">
        <v>138</v>
      </c>
      <c r="G30" s="1"/>
      <c r="H30" s="1">
        <v>4</v>
      </c>
      <c r="I30" s="1"/>
      <c r="J30" s="1"/>
      <c r="K30" s="1">
        <v>4</v>
      </c>
      <c r="L30" s="1"/>
      <c r="M30" s="1">
        <f t="shared" si="0"/>
        <v>8</v>
      </c>
    </row>
    <row r="31" spans="1:13" ht="45" x14ac:dyDescent="0.25">
      <c r="A31" s="2">
        <f t="shared" si="1"/>
        <v>31</v>
      </c>
      <c r="B31" s="1" t="s">
        <v>87</v>
      </c>
      <c r="C31" s="1" t="s">
        <v>39</v>
      </c>
      <c r="D31" s="1" t="s">
        <v>88</v>
      </c>
      <c r="E31" s="1" t="s">
        <v>89</v>
      </c>
      <c r="F31" s="1" t="s">
        <v>138</v>
      </c>
      <c r="G31" s="1">
        <v>1</v>
      </c>
      <c r="H31" s="1"/>
      <c r="I31" s="1"/>
      <c r="J31" s="1">
        <v>1</v>
      </c>
      <c r="K31" s="1">
        <v>2</v>
      </c>
      <c r="L31" s="1"/>
      <c r="M31" s="1">
        <f t="shared" si="0"/>
        <v>4</v>
      </c>
    </row>
    <row r="32" spans="1:13" ht="45" x14ac:dyDescent="0.25">
      <c r="A32" s="2">
        <f t="shared" si="1"/>
        <v>32</v>
      </c>
      <c r="B32" s="1" t="s">
        <v>90</v>
      </c>
      <c r="C32" s="1" t="s">
        <v>5</v>
      </c>
      <c r="D32" s="1" t="s">
        <v>91</v>
      </c>
      <c r="E32" s="1" t="s">
        <v>92</v>
      </c>
      <c r="F32" s="1" t="s">
        <v>142</v>
      </c>
      <c r="G32" s="1">
        <v>1</v>
      </c>
      <c r="H32" s="1"/>
      <c r="I32" s="1"/>
      <c r="J32" s="1">
        <v>1</v>
      </c>
      <c r="K32" s="1"/>
      <c r="L32" s="1">
        <v>1</v>
      </c>
      <c r="M32" s="1">
        <f t="shared" si="0"/>
        <v>3</v>
      </c>
    </row>
    <row r="33" spans="1:13" ht="75" x14ac:dyDescent="0.25">
      <c r="A33" s="2">
        <f t="shared" si="1"/>
        <v>33</v>
      </c>
      <c r="B33" s="1" t="s">
        <v>93</v>
      </c>
      <c r="C33" s="1" t="s">
        <v>5</v>
      </c>
      <c r="D33" s="1" t="s">
        <v>94</v>
      </c>
      <c r="E33" s="1" t="s">
        <v>95</v>
      </c>
      <c r="F33" s="1" t="s">
        <v>138</v>
      </c>
      <c r="G33" s="1"/>
      <c r="H33" s="1"/>
      <c r="I33" s="1">
        <v>4</v>
      </c>
      <c r="J33" s="1"/>
      <c r="K33" s="1"/>
      <c r="L33" s="1"/>
      <c r="M33" s="1">
        <f t="shared" si="0"/>
        <v>4</v>
      </c>
    </row>
    <row r="34" spans="1:13" ht="75" x14ac:dyDescent="0.25">
      <c r="A34" s="2">
        <f t="shared" si="1"/>
        <v>34</v>
      </c>
      <c r="B34" s="1" t="s">
        <v>93</v>
      </c>
      <c r="C34" s="1" t="s">
        <v>5</v>
      </c>
      <c r="D34" s="1" t="s">
        <v>96</v>
      </c>
      <c r="E34" s="1" t="s">
        <v>95</v>
      </c>
      <c r="F34" s="1" t="s">
        <v>142</v>
      </c>
      <c r="G34" s="1"/>
      <c r="H34" s="1"/>
      <c r="I34" s="1">
        <v>6</v>
      </c>
      <c r="J34" s="1"/>
      <c r="K34" s="1"/>
      <c r="L34" s="1"/>
      <c r="M34" s="1">
        <f t="shared" ref="M34:M50" si="2">SUM(G34,H34,I34,J34,K34,L34)</f>
        <v>6</v>
      </c>
    </row>
    <row r="35" spans="1:13" ht="75" x14ac:dyDescent="0.25">
      <c r="A35" s="2">
        <f t="shared" si="1"/>
        <v>35</v>
      </c>
      <c r="B35" s="1" t="s">
        <v>93</v>
      </c>
      <c r="C35" s="1" t="s">
        <v>5</v>
      </c>
      <c r="D35" s="1" t="s">
        <v>97</v>
      </c>
      <c r="E35" s="1" t="s">
        <v>95</v>
      </c>
      <c r="F35" s="1" t="s">
        <v>138</v>
      </c>
      <c r="G35" s="1"/>
      <c r="H35" s="1"/>
      <c r="I35" s="1">
        <v>6</v>
      </c>
      <c r="J35" s="1"/>
      <c r="K35" s="1"/>
      <c r="L35" s="1"/>
      <c r="M35" s="1">
        <f t="shared" si="2"/>
        <v>6</v>
      </c>
    </row>
    <row r="36" spans="1:13" ht="75" x14ac:dyDescent="0.25">
      <c r="A36" s="2">
        <f t="shared" si="1"/>
        <v>36</v>
      </c>
      <c r="B36" s="1" t="s">
        <v>93</v>
      </c>
      <c r="C36" s="1" t="s">
        <v>5</v>
      </c>
      <c r="D36" s="1" t="s">
        <v>98</v>
      </c>
      <c r="E36" s="1" t="s">
        <v>95</v>
      </c>
      <c r="F36" s="1" t="s">
        <v>138</v>
      </c>
      <c r="G36" s="1"/>
      <c r="H36" s="1"/>
      <c r="I36" s="1">
        <v>4</v>
      </c>
      <c r="J36" s="1"/>
      <c r="K36" s="1"/>
      <c r="L36" s="1"/>
      <c r="M36" s="1">
        <f t="shared" si="2"/>
        <v>4</v>
      </c>
    </row>
    <row r="37" spans="1:13" ht="60" x14ac:dyDescent="0.25">
      <c r="A37" s="2">
        <f t="shared" si="1"/>
        <v>37</v>
      </c>
      <c r="B37" s="1" t="s">
        <v>99</v>
      </c>
      <c r="C37" s="1" t="s">
        <v>5</v>
      </c>
      <c r="D37" s="1" t="s">
        <v>100</v>
      </c>
      <c r="E37" s="1" t="s">
        <v>81</v>
      </c>
      <c r="F37" s="1" t="s">
        <v>138</v>
      </c>
      <c r="G37" s="1">
        <v>5</v>
      </c>
      <c r="H37" s="1"/>
      <c r="I37" s="1">
        <v>5</v>
      </c>
      <c r="J37" s="1"/>
      <c r="K37" s="1"/>
      <c r="L37" s="1">
        <v>5</v>
      </c>
      <c r="M37" s="1">
        <f t="shared" si="2"/>
        <v>15</v>
      </c>
    </row>
    <row r="38" spans="1:13" ht="330" x14ac:dyDescent="0.25">
      <c r="A38" s="2">
        <f t="shared" si="1"/>
        <v>38</v>
      </c>
      <c r="B38" s="1" t="s">
        <v>101</v>
      </c>
      <c r="C38" s="1" t="s">
        <v>5</v>
      </c>
      <c r="D38" s="1" t="s">
        <v>102</v>
      </c>
      <c r="E38" s="1" t="s">
        <v>103</v>
      </c>
      <c r="F38" s="1" t="s">
        <v>138</v>
      </c>
      <c r="G38" s="1"/>
      <c r="H38" s="1"/>
      <c r="I38" s="1"/>
      <c r="J38" s="1">
        <v>10</v>
      </c>
      <c r="K38" s="1"/>
      <c r="L38" s="1"/>
      <c r="M38" s="1">
        <f t="shared" si="2"/>
        <v>10</v>
      </c>
    </row>
    <row r="39" spans="1:13" ht="60" x14ac:dyDescent="0.25">
      <c r="A39" s="2">
        <f t="shared" si="1"/>
        <v>39</v>
      </c>
      <c r="B39" s="1" t="s">
        <v>104</v>
      </c>
      <c r="C39" s="1" t="s">
        <v>39</v>
      </c>
      <c r="D39" s="1" t="s">
        <v>105</v>
      </c>
      <c r="E39" s="1" t="s">
        <v>106</v>
      </c>
      <c r="F39" s="1" t="s">
        <v>138</v>
      </c>
      <c r="G39" s="1"/>
      <c r="H39" s="1"/>
      <c r="I39" s="1"/>
      <c r="J39" s="1">
        <v>1</v>
      </c>
      <c r="K39" s="1">
        <v>1</v>
      </c>
      <c r="L39" s="1"/>
      <c r="M39" s="1">
        <f t="shared" si="2"/>
        <v>2</v>
      </c>
    </row>
    <row r="40" spans="1:13" ht="105" x14ac:dyDescent="0.25">
      <c r="A40" s="2">
        <f t="shared" si="1"/>
        <v>40</v>
      </c>
      <c r="B40" s="1" t="s">
        <v>107</v>
      </c>
      <c r="C40" s="1" t="s">
        <v>39</v>
      </c>
      <c r="D40" s="1" t="s">
        <v>108</v>
      </c>
      <c r="E40" s="1" t="s">
        <v>109</v>
      </c>
      <c r="F40" s="1" t="s">
        <v>138</v>
      </c>
      <c r="G40" s="1">
        <v>1</v>
      </c>
      <c r="H40" s="1"/>
      <c r="I40" s="1">
        <v>1</v>
      </c>
      <c r="J40" s="1"/>
      <c r="K40" s="1"/>
      <c r="L40" s="1">
        <v>1</v>
      </c>
      <c r="M40" s="1">
        <f t="shared" si="2"/>
        <v>3</v>
      </c>
    </row>
    <row r="41" spans="1:13" ht="45" x14ac:dyDescent="0.25">
      <c r="A41" s="2">
        <f t="shared" si="1"/>
        <v>41</v>
      </c>
      <c r="B41" s="1" t="s">
        <v>110</v>
      </c>
      <c r="C41" s="1" t="s">
        <v>39</v>
      </c>
      <c r="D41" s="1" t="s">
        <v>111</v>
      </c>
      <c r="E41" s="1" t="s">
        <v>112</v>
      </c>
      <c r="F41" s="1" t="s">
        <v>138</v>
      </c>
      <c r="G41" s="1">
        <v>2</v>
      </c>
      <c r="H41" s="1"/>
      <c r="I41" s="1"/>
      <c r="J41" s="1"/>
      <c r="K41" s="1"/>
      <c r="L41" s="1"/>
      <c r="M41" s="1">
        <f t="shared" si="2"/>
        <v>2</v>
      </c>
    </row>
    <row r="42" spans="1:13" ht="45" x14ac:dyDescent="0.25">
      <c r="A42" s="2">
        <f t="shared" si="1"/>
        <v>42</v>
      </c>
      <c r="B42" s="1" t="s">
        <v>113</v>
      </c>
      <c r="C42" s="1" t="s">
        <v>39</v>
      </c>
      <c r="D42" s="1" t="s">
        <v>114</v>
      </c>
      <c r="E42" s="1" t="s">
        <v>115</v>
      </c>
      <c r="F42" s="1" t="s">
        <v>142</v>
      </c>
      <c r="G42" s="1">
        <v>1</v>
      </c>
      <c r="H42" s="1"/>
      <c r="I42" s="1"/>
      <c r="J42" s="1">
        <v>1</v>
      </c>
      <c r="K42" s="1">
        <v>2</v>
      </c>
      <c r="L42" s="1"/>
      <c r="M42" s="1">
        <f t="shared" si="2"/>
        <v>4</v>
      </c>
    </row>
    <row r="43" spans="1:13" ht="90" x14ac:dyDescent="0.25">
      <c r="A43" s="2">
        <f t="shared" si="1"/>
        <v>43</v>
      </c>
      <c r="B43" s="1" t="s">
        <v>116</v>
      </c>
      <c r="C43" s="1" t="s">
        <v>39</v>
      </c>
      <c r="D43" s="1" t="s">
        <v>117</v>
      </c>
      <c r="E43" s="1" t="s">
        <v>115</v>
      </c>
      <c r="F43" s="1" t="s">
        <v>138</v>
      </c>
      <c r="G43" s="1">
        <v>1</v>
      </c>
      <c r="H43" s="1"/>
      <c r="I43" s="1">
        <v>1</v>
      </c>
      <c r="J43" s="1"/>
      <c r="K43" s="1"/>
      <c r="L43" s="1"/>
      <c r="M43" s="1">
        <f t="shared" si="2"/>
        <v>2</v>
      </c>
    </row>
    <row r="44" spans="1:13" ht="45" x14ac:dyDescent="0.25">
      <c r="A44" s="2">
        <f t="shared" si="1"/>
        <v>44</v>
      </c>
      <c r="B44" s="1" t="s">
        <v>118</v>
      </c>
      <c r="C44" s="1" t="s">
        <v>39</v>
      </c>
      <c r="D44" s="1" t="s">
        <v>119</v>
      </c>
      <c r="E44" s="1" t="s">
        <v>115</v>
      </c>
      <c r="F44" s="1" t="s">
        <v>142</v>
      </c>
      <c r="G44" s="1">
        <v>1</v>
      </c>
      <c r="H44" s="1"/>
      <c r="I44" s="1"/>
      <c r="J44" s="1">
        <v>1</v>
      </c>
      <c r="K44" s="1"/>
      <c r="L44" s="1"/>
      <c r="M44" s="1">
        <f t="shared" si="2"/>
        <v>2</v>
      </c>
    </row>
    <row r="45" spans="1:13" ht="45" x14ac:dyDescent="0.25">
      <c r="A45" s="2">
        <f t="shared" si="1"/>
        <v>45</v>
      </c>
      <c r="B45" s="1" t="s">
        <v>120</v>
      </c>
      <c r="C45" s="1" t="s">
        <v>39</v>
      </c>
      <c r="D45" s="1" t="s">
        <v>121</v>
      </c>
      <c r="E45" s="1" t="s">
        <v>115</v>
      </c>
      <c r="F45" s="1" t="s">
        <v>142</v>
      </c>
      <c r="G45" s="1">
        <v>1</v>
      </c>
      <c r="H45" s="1"/>
      <c r="I45" s="1"/>
      <c r="J45" s="1">
        <v>1</v>
      </c>
      <c r="K45" s="1">
        <v>2</v>
      </c>
      <c r="L45" s="1"/>
      <c r="M45" s="1">
        <f t="shared" si="2"/>
        <v>4</v>
      </c>
    </row>
    <row r="46" spans="1:13" ht="75" x14ac:dyDescent="0.25">
      <c r="A46" s="2">
        <f t="shared" si="1"/>
        <v>46</v>
      </c>
      <c r="B46" s="1" t="s">
        <v>122</v>
      </c>
      <c r="C46" s="1" t="s">
        <v>39</v>
      </c>
      <c r="D46" s="1" t="s">
        <v>123</v>
      </c>
      <c r="E46" s="1" t="s">
        <v>45</v>
      </c>
      <c r="F46" s="1" t="s">
        <v>138</v>
      </c>
      <c r="G46" s="1">
        <v>2</v>
      </c>
      <c r="H46" s="1"/>
      <c r="I46" s="1"/>
      <c r="J46" s="1"/>
      <c r="K46" s="1"/>
      <c r="L46" s="1"/>
      <c r="M46" s="1">
        <f t="shared" si="2"/>
        <v>2</v>
      </c>
    </row>
    <row r="47" spans="1:13" ht="120" x14ac:dyDescent="0.25">
      <c r="A47" s="2">
        <f t="shared" si="1"/>
        <v>47</v>
      </c>
      <c r="B47" s="1" t="s">
        <v>124</v>
      </c>
      <c r="C47" s="1" t="s">
        <v>39</v>
      </c>
      <c r="D47" s="1" t="s">
        <v>125</v>
      </c>
      <c r="E47" s="1" t="s">
        <v>126</v>
      </c>
      <c r="F47" s="1" t="s">
        <v>142</v>
      </c>
      <c r="G47" s="1">
        <v>1</v>
      </c>
      <c r="H47" s="1"/>
      <c r="I47" s="1"/>
      <c r="J47" s="1">
        <v>1</v>
      </c>
      <c r="K47" s="1">
        <v>2</v>
      </c>
      <c r="L47" s="1"/>
      <c r="M47" s="1">
        <f t="shared" si="2"/>
        <v>4</v>
      </c>
    </row>
    <row r="48" spans="1:13" ht="409.5" x14ac:dyDescent="0.25">
      <c r="A48" s="2">
        <f t="shared" si="1"/>
        <v>48</v>
      </c>
      <c r="B48" s="1" t="s">
        <v>127</v>
      </c>
      <c r="C48" s="1" t="s">
        <v>39</v>
      </c>
      <c r="D48" s="1" t="s">
        <v>128</v>
      </c>
      <c r="E48" s="1" t="s">
        <v>129</v>
      </c>
      <c r="F48" s="1" t="s">
        <v>138</v>
      </c>
      <c r="G48" s="1">
        <v>1</v>
      </c>
      <c r="H48" s="1"/>
      <c r="I48" s="1"/>
      <c r="J48" s="1"/>
      <c r="K48" s="1"/>
      <c r="L48" s="1"/>
      <c r="M48" s="1">
        <f t="shared" si="2"/>
        <v>1</v>
      </c>
    </row>
    <row r="49" spans="1:13" ht="75" x14ac:dyDescent="0.25">
      <c r="A49" s="2">
        <f t="shared" si="1"/>
        <v>49</v>
      </c>
      <c r="B49" s="1" t="s">
        <v>130</v>
      </c>
      <c r="C49" s="1" t="s">
        <v>39</v>
      </c>
      <c r="D49" s="1" t="s">
        <v>131</v>
      </c>
      <c r="E49" s="1" t="s">
        <v>132</v>
      </c>
      <c r="F49" s="1" t="s">
        <v>142</v>
      </c>
      <c r="G49" s="1"/>
      <c r="H49" s="1"/>
      <c r="I49" s="1">
        <v>1</v>
      </c>
      <c r="J49" s="1"/>
      <c r="K49" s="1">
        <v>1</v>
      </c>
      <c r="L49" s="1"/>
      <c r="M49" s="1">
        <f t="shared" si="2"/>
        <v>2</v>
      </c>
    </row>
    <row r="50" spans="1:13" ht="75" x14ac:dyDescent="0.25">
      <c r="A50" s="5">
        <f t="shared" si="1"/>
        <v>50</v>
      </c>
      <c r="B50" s="6" t="s">
        <v>133</v>
      </c>
      <c r="C50" s="6" t="s">
        <v>39</v>
      </c>
      <c r="D50" s="6" t="s">
        <v>134</v>
      </c>
      <c r="E50" s="6" t="s">
        <v>135</v>
      </c>
      <c r="F50" s="6" t="s">
        <v>138</v>
      </c>
      <c r="G50" s="6">
        <v>2</v>
      </c>
      <c r="H50" s="6"/>
      <c r="I50" s="6">
        <v>1</v>
      </c>
      <c r="J50" s="6"/>
      <c r="K50" s="6"/>
      <c r="L50" s="6"/>
      <c r="M50" s="6">
        <f t="shared" si="2"/>
        <v>3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Bendelak</dc:creator>
  <cp:lastModifiedBy>Saulo Bendelak</cp:lastModifiedBy>
  <dcterms:created xsi:type="dcterms:W3CDTF">2026-07-07T22:23:51Z</dcterms:created>
  <dcterms:modified xsi:type="dcterms:W3CDTF">2026-07-08T01:01:36Z</dcterms:modified>
</cp:coreProperties>
</file>